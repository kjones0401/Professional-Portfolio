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rist\OneDrive\Documents\Python II\Bank Orderly\"/>
    </mc:Choice>
  </mc:AlternateContent>
  <xr:revisionPtr revIDLastSave="0" documentId="13_ncr:1_{EE272AF6-3BE3-4983-8A2D-123A7F59CF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ing 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10" i="1"/>
  <c r="B9" i="1"/>
  <c r="B8" i="1"/>
</calcChain>
</file>

<file path=xl/sharedStrings.xml><?xml version="1.0" encoding="utf-8"?>
<sst xmlns="http://schemas.openxmlformats.org/spreadsheetml/2006/main" count="505" uniqueCount="278">
  <si>
    <t>Purpose: Verify the GUI, validation rules, account processing, file storage, transaction history, and left-side navigation.</t>
  </si>
  <si>
    <t>Plan Summary</t>
  </si>
  <si>
    <t>Value</t>
  </si>
  <si>
    <t>Total Test Cases</t>
  </si>
  <si>
    <t>Passed</t>
  </si>
  <si>
    <t>Failed</t>
  </si>
  <si>
    <t>Blocked</t>
  </si>
  <si>
    <t>Not Run</t>
  </si>
  <si>
    <t>Test ID</t>
  </si>
  <si>
    <t>Category</t>
  </si>
  <si>
    <t>Requirement / Scenario</t>
  </si>
  <si>
    <t>Preconditions</t>
  </si>
  <si>
    <t>Test Data</t>
  </si>
  <si>
    <t>Test Steps</t>
  </si>
  <si>
    <t>Expected Result</t>
  </si>
  <si>
    <t>Priority</t>
  </si>
  <si>
    <t>Actual Result</t>
  </si>
  <si>
    <t>Status</t>
  </si>
  <si>
    <t>Tester</t>
  </si>
  <si>
    <t>Test Date / Notes</t>
  </si>
  <si>
    <t>TC-001</t>
  </si>
  <si>
    <t>Startup</t>
  </si>
  <si>
    <t>High</t>
  </si>
  <si>
    <t>TC-002</t>
  </si>
  <si>
    <t>Existing files</t>
  </si>
  <si>
    <t>Valid account and transaction files already exist.</t>
  </si>
  <si>
    <t>Previously saved test records</t>
  </si>
  <si>
    <t>1. Start the program. 2. Look up a saved account.</t>
  </si>
  <si>
    <t>Existing records load without being erased or duplicated.</t>
  </si>
  <si>
    <t>TC-003</t>
  </si>
  <si>
    <t>Initial interface</t>
  </si>
  <si>
    <t>Program is closed.</t>
  </si>
  <si>
    <t>None</t>
  </si>
  <si>
    <t>1. Start the program. 2. Inspect the screen.</t>
  </si>
  <si>
    <t>Customer and transaction fields are empty; the left navigation menu is visible.</t>
  </si>
  <si>
    <t>Medium</t>
  </si>
  <si>
    <t>TC-004</t>
  </si>
  <si>
    <t>Navigation</t>
  </si>
  <si>
    <t>Left menu layout</t>
  </si>
  <si>
    <t>Program is open.</t>
  </si>
  <si>
    <t>Inspect the main window.</t>
  </si>
  <si>
    <t>Customer Lookup, Deposit, Withdrawal, Transfer, and Create Account buttons are stacked on the left.</t>
  </si>
  <si>
    <t>TC-005</t>
  </si>
  <si>
    <t>Page switching</t>
  </si>
  <si>
    <t>Each navigation button</t>
  </si>
  <si>
    <t>Select every left-menu button one at a time.</t>
  </si>
  <si>
    <t>The correct page opens on the right without closing the application.</t>
  </si>
  <si>
    <t>TC-006</t>
  </si>
  <si>
    <t>Account Creation</t>
  </si>
  <si>
    <t>First account number</t>
  </si>
  <si>
    <t>Use new empty account and transaction files.</t>
  </si>
  <si>
    <t>Jane / Ann / James / 200.00</t>
  </si>
  <si>
    <t>1. Open Create Account. 2. Enter the data. 3. Select Create Account.</t>
  </si>
  <si>
    <t>Account 1000 is created with a $200.00 balance and saved to both files.</t>
  </si>
  <si>
    <t>TC-007</t>
  </si>
  <si>
    <t>Sequential account number</t>
  </si>
  <si>
    <t>Account 1000 exists.</t>
  </si>
  <si>
    <t>John / Paul / Smith / 100.00</t>
  </si>
  <si>
    <t>Create another account.</t>
  </si>
  <si>
    <t>Account 1001 is assigned and the existing account remains unchanged.</t>
  </si>
  <si>
    <t>TC-008</t>
  </si>
  <si>
    <t>Required first name</t>
  </si>
  <si>
    <t>Create Account page is open.</t>
  </si>
  <si>
    <t>Leave first name blank and submit.</t>
  </si>
  <si>
    <t>Account is not created and an error explains that the full name is required.</t>
  </si>
  <si>
    <t>TC-009</t>
  </si>
  <si>
    <t>Required middle name</t>
  </si>
  <si>
    <t>Leave middle name blank and submit.</t>
  </si>
  <si>
    <t>TC-010</t>
  </si>
  <si>
    <t>Required last name</t>
  </si>
  <si>
    <t>Leave last name blank and submit.</t>
  </si>
  <si>
    <t>TC-011</t>
  </si>
  <si>
    <t>Valid name punctuation</t>
  </si>
  <si>
    <t>Mary-Jane / O'Neil / Smith / 50.00</t>
  </si>
  <si>
    <t>Enter the data and create the account.</t>
  </si>
  <si>
    <t>The account is created because supported hyphens and apostrophes are accepted.</t>
  </si>
  <si>
    <t>Low</t>
  </si>
  <si>
    <t>TC-012</t>
  </si>
  <si>
    <t>Invalid name characters</t>
  </si>
  <si>
    <t>Jane2 / Ann / James / 200.00</t>
  </si>
  <si>
    <t>Enter a number in a name and submit.</t>
  </si>
  <si>
    <t>Account is not created and a name-validation error appears.</t>
  </si>
  <si>
    <t>TC-013</t>
  </si>
  <si>
    <t>Missing initial deposit</t>
  </si>
  <si>
    <t>Jane / Ann / James / blank</t>
  </si>
  <si>
    <t>Submit without an initial deposit.</t>
  </si>
  <si>
    <t>Account is not created and an initial-deposit-required error appears.</t>
  </si>
  <si>
    <t>TC-014</t>
  </si>
  <si>
    <t>Non-numeric initial deposit</t>
  </si>
  <si>
    <t>Jane / Ann / James / abc</t>
  </si>
  <si>
    <t>Submit the form.</t>
  </si>
  <si>
    <t>Account is not created and a numeric-value error appears.</t>
  </si>
  <si>
    <t>TC-015</t>
  </si>
  <si>
    <t>Zero initial deposit</t>
  </si>
  <si>
    <t>Jane / Ann / James / 0</t>
  </si>
  <si>
    <t>Account is not created; the amount must be greater than zero.</t>
  </si>
  <si>
    <t>TC-016</t>
  </si>
  <si>
    <t>Negative initial deposit</t>
  </si>
  <si>
    <t>Jane / Ann / James / -50</t>
  </si>
  <si>
    <t>TC-017</t>
  </si>
  <si>
    <t>Too many decimal places</t>
  </si>
  <si>
    <t>Jane / Ann / James / 10.999</t>
  </si>
  <si>
    <t>Account is not created; an error states that only two decimal places are allowed.</t>
  </si>
  <si>
    <t>TC-018</t>
  </si>
  <si>
    <t>Customer Lookup</t>
  </si>
  <si>
    <t>Existing account</t>
  </si>
  <si>
    <t>1000</t>
  </si>
  <si>
    <t>1. Open Customer Lookup. 2. Enter 1000. 3. Select Find Account.</t>
  </si>
  <si>
    <t>The account number, full name, Checking type, balance, and history appear.</t>
  </si>
  <si>
    <t>TC-019</t>
  </si>
  <si>
    <t>Unknown account</t>
  </si>
  <si>
    <t>Account 9999 does not exist.</t>
  </si>
  <si>
    <t>9999</t>
  </si>
  <si>
    <t>Search for account 9999.</t>
  </si>
  <si>
    <t>An Account Not Found message appears and no incorrect customer data is displayed.</t>
  </si>
  <si>
    <t>TC-020</t>
  </si>
  <si>
    <t>Non-numeric account number</t>
  </si>
  <si>
    <t>Customer Lookup page is open.</t>
  </si>
  <si>
    <t>ABC</t>
  </si>
  <si>
    <t>Search for ABC.</t>
  </si>
  <si>
    <t>A numeric-account-number error appears.</t>
  </si>
  <si>
    <t>TC-021</t>
  </si>
  <si>
    <t>Blank account number</t>
  </si>
  <si>
    <t>Blank</t>
  </si>
  <si>
    <t>Select Find Account without entering a number.</t>
  </si>
  <si>
    <t>An account-number-required error appears.</t>
  </si>
  <si>
    <t>TC-022</t>
  </si>
  <si>
    <t>Deposit</t>
  </si>
  <si>
    <t>Valid deposit</t>
  </si>
  <si>
    <t>Account 1000 has a $200.00 balance.</t>
  </si>
  <si>
    <t>Account 1000; $100.00</t>
  </si>
  <si>
    <t>Complete the deposit.</t>
  </si>
  <si>
    <t>Balance becomes $300.00; account and transaction files are updated; fields clear.</t>
  </si>
  <si>
    <t>TC-023</t>
  </si>
  <si>
    <t>Non-numeric deposit</t>
  </si>
  <si>
    <t>Account 1000; abc</t>
  </si>
  <si>
    <t>Attempt the deposit.</t>
  </si>
  <si>
    <t>Transaction is rejected and the balance and files remain unchanged.</t>
  </si>
  <si>
    <t>TC-024</t>
  </si>
  <si>
    <t>Zero deposit</t>
  </si>
  <si>
    <t>Account 1000; 0</t>
  </si>
  <si>
    <t>Transaction is rejected because the amount must be greater than zero.</t>
  </si>
  <si>
    <t>TC-025</t>
  </si>
  <si>
    <t>Negative deposit</t>
  </si>
  <si>
    <t>Account 1000; -25</t>
  </si>
  <si>
    <t>Transaction is rejected and no transaction-log row is added.</t>
  </si>
  <si>
    <t>TC-026</t>
  </si>
  <si>
    <t>Withdrawal</t>
  </si>
  <si>
    <t>Valid withdrawal</t>
  </si>
  <si>
    <t>Account 1000 has a $300.00 balance.</t>
  </si>
  <si>
    <t>Account 1000; $50.00</t>
  </si>
  <si>
    <t>Complete the withdrawal.</t>
  </si>
  <si>
    <t>Balance becomes $250.00; both files update; fields clear.</t>
  </si>
  <si>
    <t>TC-027</t>
  </si>
  <si>
    <t>Exact-balance withdrawal</t>
  </si>
  <si>
    <t>Account 1000 has a $250.00 balance.</t>
  </si>
  <si>
    <t>Account 1000; $250.00</t>
  </si>
  <si>
    <t>Balance becomes $0.00 without a negative-balance warning.</t>
  </si>
  <si>
    <t>TC-028</t>
  </si>
  <si>
    <t>Overdraft canceled</t>
  </si>
  <si>
    <t>Account 1000 has a $100.00 balance.</t>
  </si>
  <si>
    <t>Account 1000; $150.00</t>
  </si>
  <si>
    <t>1. Attempt withdrawal. 2. Select No on the warning.</t>
  </si>
  <si>
    <t>Warning shows resulting balance of -$50.00; transaction is canceled and balance stays $100.00.</t>
  </si>
  <si>
    <t>TC-029</t>
  </si>
  <si>
    <t>Overdraft confirmed</t>
  </si>
  <si>
    <t>1. Attempt withdrawal. 2. Select Yes on the warning.</t>
  </si>
  <si>
    <t>Withdrawal completes and the saved balance becomes -$50.00.</t>
  </si>
  <si>
    <t>TC-030</t>
  </si>
  <si>
    <t>Invalid withdrawal amount</t>
  </si>
  <si>
    <t>Blank, abc, 0, and -10</t>
  </si>
  <si>
    <t>Repeat the withdrawal using each invalid amount.</t>
  </si>
  <si>
    <t>Each transaction is rejected and account data remains unchanged.</t>
  </si>
  <si>
    <t>TC-031</t>
  </si>
  <si>
    <t>Transfer</t>
  </si>
  <si>
    <t>Valid transfer</t>
  </si>
  <si>
    <t>Account 1000 has $250.00; account 1001 has $100.00.</t>
  </si>
  <si>
    <t>1000 to 1001; $25.00</t>
  </si>
  <si>
    <t>Complete the transfer.</t>
  </si>
  <si>
    <t>Balances become $225.00 and $125.00; Transfer Out and Transfer In are logged.</t>
  </si>
  <si>
    <t>TC-032</t>
  </si>
  <si>
    <t>Same source and destination</t>
  </si>
  <si>
    <t>1000 to 1000; $25.00</t>
  </si>
  <si>
    <t>Attempt the transfer.</t>
  </si>
  <si>
    <t>Transfer is rejected because the accounts must be different.</t>
  </si>
  <si>
    <t>TC-033</t>
  </si>
  <si>
    <t>Unknown source account</t>
  </si>
  <si>
    <t>Account 9999 does not exist; account 1001 exists.</t>
  </si>
  <si>
    <t>9999 to 1001; $25.00</t>
  </si>
  <si>
    <t>Account Not Found appears and no balance changes.</t>
  </si>
  <si>
    <t>TC-034</t>
  </si>
  <si>
    <t>Unknown destination account</t>
  </si>
  <si>
    <t>Account 1000 exists; account 9999 does not.</t>
  </si>
  <si>
    <t>1000 to 9999; $25.00</t>
  </si>
  <si>
    <t>TC-035</t>
  </si>
  <si>
    <t>Source has $20.00; destination exists.</t>
  </si>
  <si>
    <t>Transfer $50.00</t>
  </si>
  <si>
    <t>Attempt transfer and select No on the warning.</t>
  </si>
  <si>
    <t>Warning shows the negative source balance; no funds move.</t>
  </si>
  <si>
    <t>TC-036</t>
  </si>
  <si>
    <t>Source has $20.00; destination has $10.00.</t>
  </si>
  <si>
    <t>Attempt transfer and select Yes on the warning.</t>
  </si>
  <si>
    <t>Source becomes -$30.00; destination becomes $60.00; both log entries are written.</t>
  </si>
  <si>
    <t>TC-037</t>
  </si>
  <si>
    <t>Transaction History</t>
  </si>
  <si>
    <t>History order and detail</t>
  </si>
  <si>
    <t>Account 1000 has several transactions.</t>
  </si>
  <si>
    <t>Lookup account 1000</t>
  </si>
  <si>
    <t>Open Customer Lookup and find account 1000.</t>
  </si>
  <si>
    <t>Newest transactions appear first with date/time, type, related account, amount, and balance.</t>
  </si>
  <si>
    <t>TC-038</t>
  </si>
  <si>
    <t>Persistence</t>
  </si>
  <si>
    <t>Restart after changes</t>
  </si>
  <si>
    <t>Complete account creation, deposit, withdrawal, and transfer.</t>
  </si>
  <si>
    <t>Saved test accounts</t>
  </si>
  <si>
    <t>1. Exit normally. 2. Restart. 3. Look up each account.</t>
  </si>
  <si>
    <t>All balances and transaction-history rows remain available and accurate.</t>
  </si>
  <si>
    <t>TC-039</t>
  </si>
  <si>
    <t>Files</t>
  </si>
  <si>
    <t>Account-file contents</t>
  </si>
  <si>
    <t>At least two accounts exist.</t>
  </si>
  <si>
    <t>Open accounts.txt</t>
  </si>
  <si>
    <t>Compare every stored field with the GUI.</t>
  </si>
  <si>
    <t>One row exists per account with number, separate names, type, and current balance.</t>
  </si>
  <si>
    <t>TC-040</t>
  </si>
  <si>
    <t>Transaction-log contents</t>
  </si>
  <si>
    <t>Several transactions are complete.</t>
  </si>
  <si>
    <t>Open transactions.txt</t>
  </si>
  <si>
    <t>Compare log rows with completed transactions.</t>
  </si>
  <si>
    <t>Every completed transaction has a timestamp, type, account, amount, and resulting balance.</t>
  </si>
  <si>
    <t>TC-041</t>
  </si>
  <si>
    <t>Rejected actions not logged</t>
  </si>
  <si>
    <t>Run several invalid transactions.</t>
  </si>
  <si>
    <t>Invalid deposit, withdrawal, and transfer</t>
  </si>
  <si>
    <t>Inspect transactions.txt after each rejection.</t>
  </si>
  <si>
    <t>No rejected or canceled transaction is written to the log.</t>
  </si>
  <si>
    <t>TC-042</t>
  </si>
  <si>
    <t>Shutdown</t>
  </si>
  <si>
    <t>Menu Exit</t>
  </si>
  <si>
    <t>Program is open with no unsubmitted work needed.</t>
  </si>
  <si>
    <t>Teller Menu &gt; Exit</t>
  </si>
  <si>
    <t>Select Exit from the Teller Menu.</t>
  </si>
  <si>
    <t>The application closes normally with no error.</t>
  </si>
  <si>
    <t>TC-043</t>
  </si>
  <si>
    <t>Window close button</t>
  </si>
  <si>
    <t>Window X button</t>
  </si>
  <si>
    <t>Close the application using the window control.</t>
  </si>
  <si>
    <t>The application closes normally; previously completed work remains saved.</t>
  </si>
  <si>
    <t>TC-044</t>
  </si>
  <si>
    <t>Usability</t>
  </si>
  <si>
    <t>Keyboard lookup</t>
  </si>
  <si>
    <t>1000 and Enter key</t>
  </si>
  <si>
    <t>Type 1000 and press Enter.</t>
  </si>
  <si>
    <t>Lookup runs without requiring the mouse.</t>
  </si>
  <si>
    <t>Regression</t>
  </si>
  <si>
    <t>Complete end-to-end workflow</t>
  </si>
  <si>
    <t>Use fresh files.</t>
  </si>
  <si>
    <t>Create two accounts; deposit; withdraw; transfer; restart</t>
  </si>
  <si>
    <t>Perform the full workflow and manually reconcile all balances.</t>
  </si>
  <si>
    <t>Displayed balances, account file, and transaction log agree after restart.</t>
  </si>
  <si>
    <t>Searched for Account Number 1000. It returned the account information and transaction history correctly</t>
  </si>
  <si>
    <t>Pass</t>
  </si>
  <si>
    <t>Kjones</t>
  </si>
  <si>
    <t>Starts at Customer Lookup screen. All fields are blank</t>
  </si>
  <si>
    <t>Menu is stacked on the left</t>
  </si>
  <si>
    <t>All pages open to the right without closing the applications</t>
  </si>
  <si>
    <t>Account was created and files updated</t>
  </si>
  <si>
    <t>Account created and account number 1001 automatically assigned</t>
  </si>
  <si>
    <t>Blank / Grace / Johnson / 200.00</t>
  </si>
  <si>
    <t>Error message created. Account was not created</t>
  </si>
  <si>
    <t>Jane / Blank / Johnson / 200.00</t>
  </si>
  <si>
    <t>Jane / Grace / Blank / 200.00</t>
  </si>
  <si>
    <t>Account was not created. Error message created</t>
  </si>
  <si>
    <t>Account 1000 exists and shows information and transactions</t>
  </si>
  <si>
    <t>Account was not found</t>
  </si>
  <si>
    <t>Error message created</t>
  </si>
  <si>
    <t>Deposit successful and current balance updated correctly</t>
  </si>
  <si>
    <t>Simple Bank Orderly v1.2 Testing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</si>
</sst>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6"/>
      <color rgb="FF17365D"/>
      <name val="Arial"/>
      <family val="2"/>
    </font>
    <font>
      <i/>
      <sz val="10"/>
      <color rgb="FF555555"/>
      <name val="Arial"/>
      <family val="2"/>
    </font>
    <font>
      <b/>
      <sz val="10"/>
      <color rgb="FFFFFFFF"/>
      <name val="Arial"/>
      <family val="2"/>
    </font>
    <font>
      <b/>
      <sz val="10"/>
      <color rgb="FF17365D"/>
      <name val="Arial"/>
      <family val="2"/>
    </font>
    <font>
      <b/>
      <sz val="10"/>
      <name val="Arial"/>
      <family val="2"/>
    </font>
    <font>
      <sz val="10"/>
      <color rgb="FF22222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E75B6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3" fillId="3" borderId="0" xfId="0" applyFont="1" applyFill="1" applyAlignment="1">
      <alignment horizontal="center"/>
    </xf>
    <xf numFmtId="0" fontId="4" fillId="4" borderId="0" xfId="0" applyFont="1" applyFill="1"/>
    <xf numFmtId="0" fontId="5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center" vertical="top" wrapText="1"/>
    </xf>
    <xf numFmtId="0" fontId="6" fillId="5" borderId="0" xfId="0" applyFont="1" applyFill="1" applyAlignment="1">
      <alignment horizontal="center" vertical="top" wrapText="1"/>
    </xf>
    <xf numFmtId="14" fontId="6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vertical="center"/>
    </xf>
    <xf numFmtId="0" fontId="0" fillId="0" borderId="0" xfId="0"/>
    <xf numFmtId="0" fontId="2" fillId="0" borderId="0" xfId="0" applyFont="1"/>
  </cellXfs>
  <cellStyles count="1">
    <cellStyle name="Normal" xfId="0" builtinId="0"/>
  </cellStyles>
  <dxfs count="3">
    <dxf>
      <font>
        <b/>
        <color rgb="FF7030A0"/>
      </font>
      <fill>
        <patternFill patternType="solid">
          <bgColor rgb="FFE4DFEC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2E7D32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58"/>
  <sheetViews>
    <sheetView tabSelected="1" workbookViewId="0">
      <pane xSplit="2" ySplit="14" topLeftCell="C56" activePane="bottomRight" state="frozen"/>
      <selection pane="topRight"/>
      <selection pane="bottomLeft"/>
      <selection pane="bottomRight" activeCell="A2" sqref="A2:L2"/>
    </sheetView>
  </sheetViews>
  <sheetFormatPr defaultRowHeight="13.8"/>
  <cols>
    <col min="1" max="1" width="16.69921875" customWidth="1"/>
    <col min="2" max="2" width="18" customWidth="1"/>
    <col min="3" max="3" width="24" customWidth="1"/>
    <col min="4" max="4" width="30" customWidth="1"/>
    <col min="5" max="5" width="24" customWidth="1"/>
    <col min="6" max="6" width="44" customWidth="1"/>
    <col min="7" max="7" width="48" customWidth="1"/>
    <col min="8" max="8" width="10" customWidth="1"/>
    <col min="9" max="9" width="32" customWidth="1"/>
    <col min="10" max="10" width="12" customWidth="1"/>
    <col min="11" max="11" width="16" customWidth="1"/>
    <col min="12" max="12" width="24" customWidth="1"/>
  </cols>
  <sheetData>
    <row r="2" spans="1:12" ht="26.1" customHeight="1">
      <c r="A2" s="10" t="s">
        <v>277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21.9" customHeight="1">
      <c r="A3" s="12" t="s">
        <v>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6" spans="1:12">
      <c r="A6" s="2" t="s">
        <v>1</v>
      </c>
      <c r="B6" s="2" t="s">
        <v>2</v>
      </c>
    </row>
    <row r="7" spans="1:12">
      <c r="A7" s="3" t="s">
        <v>3</v>
      </c>
      <c r="B7" s="4">
        <v>44</v>
      </c>
    </row>
    <row r="8" spans="1:12">
      <c r="A8" s="3" t="s">
        <v>4</v>
      </c>
      <c r="B8" s="4">
        <f>COUNTIF(J15:J58,"Pass")</f>
        <v>44</v>
      </c>
    </row>
    <row r="9" spans="1:12">
      <c r="A9" s="3" t="s">
        <v>5</v>
      </c>
      <c r="B9" s="4">
        <f>COUNTIF(J15:J58,"Fail")</f>
        <v>0</v>
      </c>
    </row>
    <row r="10" spans="1:12">
      <c r="A10" s="3" t="s">
        <v>6</v>
      </c>
      <c r="B10" s="4">
        <f>COUNTIF(J15:J58,"Blocked")</f>
        <v>0</v>
      </c>
    </row>
    <row r="11" spans="1:12">
      <c r="A11" s="3" t="s">
        <v>7</v>
      </c>
      <c r="B11" s="4">
        <f>COUNTIF(J15:J58,"Not Run")+COUNTBLANK(J15:J58)</f>
        <v>0</v>
      </c>
    </row>
    <row r="14" spans="1:12" ht="33.9" customHeight="1">
      <c r="A14" s="5" t="s">
        <v>8</v>
      </c>
      <c r="B14" s="5" t="s">
        <v>9</v>
      </c>
      <c r="C14" s="5" t="s">
        <v>10</v>
      </c>
      <c r="D14" s="5" t="s">
        <v>11</v>
      </c>
      <c r="E14" s="5" t="s">
        <v>12</v>
      </c>
      <c r="F14" s="5" t="s">
        <v>13</v>
      </c>
      <c r="G14" s="5" t="s">
        <v>14</v>
      </c>
      <c r="H14" s="5" t="s">
        <v>15</v>
      </c>
      <c r="I14" s="5" t="s">
        <v>16</v>
      </c>
      <c r="J14" s="5" t="s">
        <v>17</v>
      </c>
      <c r="K14" s="5" t="s">
        <v>18</v>
      </c>
      <c r="L14" s="5" t="s">
        <v>19</v>
      </c>
    </row>
    <row r="15" spans="1:12" ht="72" customHeight="1">
      <c r="A15" s="7" t="s">
        <v>20</v>
      </c>
      <c r="B15" s="7" t="s">
        <v>21</v>
      </c>
      <c r="C15" s="6" t="s">
        <v>24</v>
      </c>
      <c r="D15" s="6" t="s">
        <v>25</v>
      </c>
      <c r="E15" s="6" t="s">
        <v>26</v>
      </c>
      <c r="F15" s="6" t="s">
        <v>27</v>
      </c>
      <c r="G15" s="6" t="s">
        <v>28</v>
      </c>
      <c r="H15" s="7" t="s">
        <v>22</v>
      </c>
      <c r="I15" s="7" t="s">
        <v>260</v>
      </c>
      <c r="J15" s="8" t="s">
        <v>261</v>
      </c>
      <c r="K15" s="7" t="s">
        <v>262</v>
      </c>
      <c r="L15" s="9">
        <v>46280</v>
      </c>
    </row>
    <row r="16" spans="1:12" ht="72" customHeight="1">
      <c r="A16" s="7" t="s">
        <v>23</v>
      </c>
      <c r="B16" s="7" t="s">
        <v>21</v>
      </c>
      <c r="C16" s="6" t="s">
        <v>30</v>
      </c>
      <c r="D16" s="6" t="s">
        <v>31</v>
      </c>
      <c r="E16" s="6" t="s">
        <v>32</v>
      </c>
      <c r="F16" s="6" t="s">
        <v>33</v>
      </c>
      <c r="G16" s="6" t="s">
        <v>34</v>
      </c>
      <c r="H16" s="7" t="s">
        <v>35</v>
      </c>
      <c r="I16" s="7" t="s">
        <v>263</v>
      </c>
      <c r="J16" s="8" t="s">
        <v>261</v>
      </c>
      <c r="K16" s="7" t="s">
        <v>262</v>
      </c>
      <c r="L16" s="9">
        <v>46280</v>
      </c>
    </row>
    <row r="17" spans="1:12" ht="72" customHeight="1">
      <c r="A17" s="7" t="s">
        <v>29</v>
      </c>
      <c r="B17" s="7" t="s">
        <v>37</v>
      </c>
      <c r="C17" s="6" t="s">
        <v>38</v>
      </c>
      <c r="D17" s="6" t="s">
        <v>39</v>
      </c>
      <c r="E17" s="6" t="s">
        <v>32</v>
      </c>
      <c r="F17" s="6" t="s">
        <v>40</v>
      </c>
      <c r="G17" s="6" t="s">
        <v>41</v>
      </c>
      <c r="H17" s="7" t="s">
        <v>35</v>
      </c>
      <c r="I17" s="7" t="s">
        <v>264</v>
      </c>
      <c r="J17" s="8" t="s">
        <v>261</v>
      </c>
      <c r="K17" s="7" t="s">
        <v>262</v>
      </c>
      <c r="L17" s="9">
        <v>46280</v>
      </c>
    </row>
    <row r="18" spans="1:12" ht="72" customHeight="1">
      <c r="A18" s="7" t="s">
        <v>36</v>
      </c>
      <c r="B18" s="7" t="s">
        <v>37</v>
      </c>
      <c r="C18" s="6" t="s">
        <v>43</v>
      </c>
      <c r="D18" s="6" t="s">
        <v>39</v>
      </c>
      <c r="E18" s="6" t="s">
        <v>44</v>
      </c>
      <c r="F18" s="6" t="s">
        <v>45</v>
      </c>
      <c r="G18" s="6" t="s">
        <v>46</v>
      </c>
      <c r="H18" s="7" t="s">
        <v>35</v>
      </c>
      <c r="I18" s="7" t="s">
        <v>265</v>
      </c>
      <c r="J18" s="8" t="s">
        <v>261</v>
      </c>
      <c r="K18" s="7" t="s">
        <v>262</v>
      </c>
      <c r="L18" s="9">
        <v>46280</v>
      </c>
    </row>
    <row r="19" spans="1:12" ht="72" customHeight="1">
      <c r="A19" s="7" t="s">
        <v>42</v>
      </c>
      <c r="B19" s="7" t="s">
        <v>48</v>
      </c>
      <c r="C19" s="6" t="s">
        <v>49</v>
      </c>
      <c r="D19" s="6" t="s">
        <v>50</v>
      </c>
      <c r="E19" s="6" t="s">
        <v>51</v>
      </c>
      <c r="F19" s="6" t="s">
        <v>52</v>
      </c>
      <c r="G19" s="6" t="s">
        <v>53</v>
      </c>
      <c r="H19" s="7" t="s">
        <v>22</v>
      </c>
      <c r="I19" s="7" t="s">
        <v>266</v>
      </c>
      <c r="J19" s="8" t="s">
        <v>261</v>
      </c>
      <c r="K19" s="7" t="s">
        <v>262</v>
      </c>
      <c r="L19" s="9">
        <v>46280</v>
      </c>
    </row>
    <row r="20" spans="1:12" ht="72" customHeight="1">
      <c r="A20" s="7" t="s">
        <v>47</v>
      </c>
      <c r="B20" s="7" t="s">
        <v>48</v>
      </c>
      <c r="C20" s="6" t="s">
        <v>55</v>
      </c>
      <c r="D20" s="6" t="s">
        <v>56</v>
      </c>
      <c r="E20" s="6" t="s">
        <v>57</v>
      </c>
      <c r="F20" s="6" t="s">
        <v>58</v>
      </c>
      <c r="G20" s="6" t="s">
        <v>59</v>
      </c>
      <c r="H20" s="7" t="s">
        <v>22</v>
      </c>
      <c r="I20" s="7" t="s">
        <v>267</v>
      </c>
      <c r="J20" s="8" t="s">
        <v>261</v>
      </c>
      <c r="K20" s="7" t="s">
        <v>262</v>
      </c>
      <c r="L20" s="9">
        <v>46280</v>
      </c>
    </row>
    <row r="21" spans="1:12" ht="72" customHeight="1">
      <c r="A21" s="7" t="s">
        <v>54</v>
      </c>
      <c r="B21" s="7" t="s">
        <v>48</v>
      </c>
      <c r="C21" s="6" t="s">
        <v>61</v>
      </c>
      <c r="D21" s="6" t="s">
        <v>62</v>
      </c>
      <c r="E21" s="6" t="s">
        <v>268</v>
      </c>
      <c r="F21" s="6" t="s">
        <v>63</v>
      </c>
      <c r="G21" s="6" t="s">
        <v>64</v>
      </c>
      <c r="H21" s="7" t="s">
        <v>22</v>
      </c>
      <c r="I21" s="7" t="s">
        <v>269</v>
      </c>
      <c r="J21" s="8" t="s">
        <v>261</v>
      </c>
      <c r="K21" s="7" t="s">
        <v>262</v>
      </c>
      <c r="L21" s="9">
        <v>46280</v>
      </c>
    </row>
    <row r="22" spans="1:12" ht="72" customHeight="1">
      <c r="A22" s="7" t="s">
        <v>60</v>
      </c>
      <c r="B22" s="7" t="s">
        <v>48</v>
      </c>
      <c r="C22" s="6" t="s">
        <v>66</v>
      </c>
      <c r="D22" s="6" t="s">
        <v>62</v>
      </c>
      <c r="E22" s="6" t="s">
        <v>270</v>
      </c>
      <c r="F22" s="6" t="s">
        <v>67</v>
      </c>
      <c r="G22" s="6" t="s">
        <v>64</v>
      </c>
      <c r="H22" s="7" t="s">
        <v>22</v>
      </c>
      <c r="I22" s="7" t="s">
        <v>269</v>
      </c>
      <c r="J22" s="8" t="s">
        <v>261</v>
      </c>
      <c r="K22" s="7" t="s">
        <v>262</v>
      </c>
      <c r="L22" s="9">
        <v>46280</v>
      </c>
    </row>
    <row r="23" spans="1:12" ht="72" customHeight="1">
      <c r="A23" s="7" t="s">
        <v>65</v>
      </c>
      <c r="B23" s="7" t="s">
        <v>48</v>
      </c>
      <c r="C23" s="6" t="s">
        <v>69</v>
      </c>
      <c r="D23" s="6" t="s">
        <v>62</v>
      </c>
      <c r="E23" s="6" t="s">
        <v>271</v>
      </c>
      <c r="F23" s="6" t="s">
        <v>70</v>
      </c>
      <c r="G23" s="6" t="s">
        <v>64</v>
      </c>
      <c r="H23" s="7" t="s">
        <v>22</v>
      </c>
      <c r="I23" s="7" t="s">
        <v>269</v>
      </c>
      <c r="J23" s="8" t="s">
        <v>261</v>
      </c>
      <c r="K23" s="7" t="s">
        <v>262</v>
      </c>
      <c r="L23" s="9">
        <v>46280</v>
      </c>
    </row>
    <row r="24" spans="1:12" ht="72" customHeight="1">
      <c r="A24" s="7" t="s">
        <v>68</v>
      </c>
      <c r="B24" s="7" t="s">
        <v>48</v>
      </c>
      <c r="C24" s="6" t="s">
        <v>72</v>
      </c>
      <c r="D24" s="6" t="s">
        <v>62</v>
      </c>
      <c r="E24" s="6" t="s">
        <v>73</v>
      </c>
      <c r="F24" s="6" t="s">
        <v>74</v>
      </c>
      <c r="G24" s="6" t="s">
        <v>75</v>
      </c>
      <c r="H24" s="7" t="s">
        <v>76</v>
      </c>
      <c r="I24" s="7" t="s">
        <v>266</v>
      </c>
      <c r="J24" s="8" t="s">
        <v>261</v>
      </c>
      <c r="K24" s="7" t="s">
        <v>262</v>
      </c>
      <c r="L24" s="9">
        <v>46280</v>
      </c>
    </row>
    <row r="25" spans="1:12" ht="72" customHeight="1">
      <c r="A25" s="7" t="s">
        <v>71</v>
      </c>
      <c r="B25" s="7" t="s">
        <v>48</v>
      </c>
      <c r="C25" s="6" t="s">
        <v>78</v>
      </c>
      <c r="D25" s="6" t="s">
        <v>62</v>
      </c>
      <c r="E25" s="6" t="s">
        <v>79</v>
      </c>
      <c r="F25" s="6" t="s">
        <v>80</v>
      </c>
      <c r="G25" s="6" t="s">
        <v>81</v>
      </c>
      <c r="H25" s="7" t="s">
        <v>35</v>
      </c>
      <c r="I25" s="7" t="s">
        <v>272</v>
      </c>
      <c r="J25" s="8" t="s">
        <v>261</v>
      </c>
      <c r="K25" s="7" t="s">
        <v>262</v>
      </c>
      <c r="L25" s="9">
        <v>46280</v>
      </c>
    </row>
    <row r="26" spans="1:12" ht="72" customHeight="1">
      <c r="A26" s="7" t="s">
        <v>77</v>
      </c>
      <c r="B26" s="7" t="s">
        <v>48</v>
      </c>
      <c r="C26" s="6" t="s">
        <v>83</v>
      </c>
      <c r="D26" s="6" t="s">
        <v>62</v>
      </c>
      <c r="E26" s="6" t="s">
        <v>84</v>
      </c>
      <c r="F26" s="6" t="s">
        <v>85</v>
      </c>
      <c r="G26" s="6" t="s">
        <v>86</v>
      </c>
      <c r="H26" s="7" t="s">
        <v>22</v>
      </c>
      <c r="I26" s="7" t="s">
        <v>269</v>
      </c>
      <c r="J26" s="8" t="s">
        <v>261</v>
      </c>
      <c r="K26" s="7" t="s">
        <v>262</v>
      </c>
      <c r="L26" s="9">
        <v>46280</v>
      </c>
    </row>
    <row r="27" spans="1:12" ht="72" customHeight="1">
      <c r="A27" s="7" t="s">
        <v>82</v>
      </c>
      <c r="B27" s="7" t="s">
        <v>48</v>
      </c>
      <c r="C27" s="6" t="s">
        <v>88</v>
      </c>
      <c r="D27" s="6" t="s">
        <v>62</v>
      </c>
      <c r="E27" s="6" t="s">
        <v>89</v>
      </c>
      <c r="F27" s="6" t="s">
        <v>90</v>
      </c>
      <c r="G27" s="6" t="s">
        <v>91</v>
      </c>
      <c r="H27" s="7" t="s">
        <v>22</v>
      </c>
      <c r="I27" s="7" t="s">
        <v>269</v>
      </c>
      <c r="J27" s="8" t="s">
        <v>261</v>
      </c>
      <c r="K27" s="7" t="s">
        <v>262</v>
      </c>
      <c r="L27" s="9">
        <v>46280</v>
      </c>
    </row>
    <row r="28" spans="1:12" ht="72" customHeight="1">
      <c r="A28" s="7" t="s">
        <v>87</v>
      </c>
      <c r="B28" s="7" t="s">
        <v>48</v>
      </c>
      <c r="C28" s="6" t="s">
        <v>93</v>
      </c>
      <c r="D28" s="6" t="s">
        <v>62</v>
      </c>
      <c r="E28" s="6" t="s">
        <v>94</v>
      </c>
      <c r="F28" s="6" t="s">
        <v>90</v>
      </c>
      <c r="G28" s="6" t="s">
        <v>95</v>
      </c>
      <c r="H28" s="7" t="s">
        <v>22</v>
      </c>
      <c r="I28" s="7" t="s">
        <v>269</v>
      </c>
      <c r="J28" s="8" t="s">
        <v>261</v>
      </c>
      <c r="K28" s="7" t="s">
        <v>262</v>
      </c>
      <c r="L28" s="9">
        <v>46280</v>
      </c>
    </row>
    <row r="29" spans="1:12" ht="72" customHeight="1">
      <c r="A29" s="7" t="s">
        <v>92</v>
      </c>
      <c r="B29" s="7" t="s">
        <v>48</v>
      </c>
      <c r="C29" s="6" t="s">
        <v>97</v>
      </c>
      <c r="D29" s="6" t="s">
        <v>62</v>
      </c>
      <c r="E29" s="6" t="s">
        <v>98</v>
      </c>
      <c r="F29" s="6" t="s">
        <v>90</v>
      </c>
      <c r="G29" s="6" t="s">
        <v>95</v>
      </c>
      <c r="H29" s="7" t="s">
        <v>22</v>
      </c>
      <c r="I29" s="7" t="s">
        <v>269</v>
      </c>
      <c r="J29" s="8" t="s">
        <v>261</v>
      </c>
      <c r="K29" s="7" t="s">
        <v>262</v>
      </c>
      <c r="L29" s="9">
        <v>46280</v>
      </c>
    </row>
    <row r="30" spans="1:12" ht="72" customHeight="1">
      <c r="A30" s="7" t="s">
        <v>96</v>
      </c>
      <c r="B30" s="7" t="s">
        <v>48</v>
      </c>
      <c r="C30" s="6" t="s">
        <v>100</v>
      </c>
      <c r="D30" s="6" t="s">
        <v>62</v>
      </c>
      <c r="E30" s="6" t="s">
        <v>101</v>
      </c>
      <c r="F30" s="6" t="s">
        <v>90</v>
      </c>
      <c r="G30" s="6" t="s">
        <v>102</v>
      </c>
      <c r="H30" s="7" t="s">
        <v>35</v>
      </c>
      <c r="I30" s="7" t="s">
        <v>269</v>
      </c>
      <c r="J30" s="8" t="s">
        <v>261</v>
      </c>
      <c r="K30" s="7" t="s">
        <v>262</v>
      </c>
      <c r="L30" s="9">
        <v>46280</v>
      </c>
    </row>
    <row r="31" spans="1:12" ht="72" customHeight="1">
      <c r="A31" s="7" t="s">
        <v>99</v>
      </c>
      <c r="B31" s="7" t="s">
        <v>104</v>
      </c>
      <c r="C31" s="6" t="s">
        <v>105</v>
      </c>
      <c r="D31" s="6" t="s">
        <v>56</v>
      </c>
      <c r="E31" s="6" t="s">
        <v>106</v>
      </c>
      <c r="F31" s="6" t="s">
        <v>107</v>
      </c>
      <c r="G31" s="6" t="s">
        <v>108</v>
      </c>
      <c r="H31" s="7" t="s">
        <v>22</v>
      </c>
      <c r="I31" s="7" t="s">
        <v>273</v>
      </c>
      <c r="J31" s="8" t="s">
        <v>261</v>
      </c>
      <c r="K31" s="7" t="s">
        <v>262</v>
      </c>
      <c r="L31" s="9">
        <v>46280</v>
      </c>
    </row>
    <row r="32" spans="1:12" ht="72" customHeight="1">
      <c r="A32" s="7" t="s">
        <v>103</v>
      </c>
      <c r="B32" s="7" t="s">
        <v>104</v>
      </c>
      <c r="C32" s="6" t="s">
        <v>110</v>
      </c>
      <c r="D32" s="6" t="s">
        <v>111</v>
      </c>
      <c r="E32" s="6" t="s">
        <v>112</v>
      </c>
      <c r="F32" s="6" t="s">
        <v>113</v>
      </c>
      <c r="G32" s="6" t="s">
        <v>114</v>
      </c>
      <c r="H32" s="7" t="s">
        <v>22</v>
      </c>
      <c r="I32" s="7" t="s">
        <v>274</v>
      </c>
      <c r="J32" s="8" t="s">
        <v>261</v>
      </c>
      <c r="K32" s="7" t="s">
        <v>262</v>
      </c>
      <c r="L32" s="9">
        <v>46280</v>
      </c>
    </row>
    <row r="33" spans="1:12" ht="72" customHeight="1">
      <c r="A33" s="7" t="s">
        <v>109</v>
      </c>
      <c r="B33" s="7" t="s">
        <v>104</v>
      </c>
      <c r="C33" s="6" t="s">
        <v>116</v>
      </c>
      <c r="D33" s="6" t="s">
        <v>117</v>
      </c>
      <c r="E33" s="6" t="s">
        <v>118</v>
      </c>
      <c r="F33" s="6" t="s">
        <v>119</v>
      </c>
      <c r="G33" s="6" t="s">
        <v>120</v>
      </c>
      <c r="H33" s="7" t="s">
        <v>22</v>
      </c>
      <c r="I33" s="7" t="s">
        <v>275</v>
      </c>
      <c r="J33" s="8" t="s">
        <v>261</v>
      </c>
      <c r="K33" s="7" t="s">
        <v>262</v>
      </c>
      <c r="L33" s="9">
        <v>46280</v>
      </c>
    </row>
    <row r="34" spans="1:12" ht="72" customHeight="1">
      <c r="A34" s="7" t="s">
        <v>115</v>
      </c>
      <c r="B34" s="7" t="s">
        <v>104</v>
      </c>
      <c r="C34" s="6" t="s">
        <v>122</v>
      </c>
      <c r="D34" s="6" t="s">
        <v>117</v>
      </c>
      <c r="E34" s="6" t="s">
        <v>123</v>
      </c>
      <c r="F34" s="6" t="s">
        <v>124</v>
      </c>
      <c r="G34" s="6" t="s">
        <v>125</v>
      </c>
      <c r="H34" s="7" t="s">
        <v>35</v>
      </c>
      <c r="I34" s="7" t="s">
        <v>275</v>
      </c>
      <c r="J34" s="8" t="s">
        <v>261</v>
      </c>
      <c r="K34" s="7" t="s">
        <v>262</v>
      </c>
      <c r="L34" s="9">
        <v>46280</v>
      </c>
    </row>
    <row r="35" spans="1:12" ht="72" customHeight="1">
      <c r="A35" s="7" t="s">
        <v>121</v>
      </c>
      <c r="B35" s="7" t="s">
        <v>127</v>
      </c>
      <c r="C35" s="6" t="s">
        <v>128</v>
      </c>
      <c r="D35" s="6" t="s">
        <v>129</v>
      </c>
      <c r="E35" s="6" t="s">
        <v>130</v>
      </c>
      <c r="F35" s="6" t="s">
        <v>131</v>
      </c>
      <c r="G35" s="6" t="s">
        <v>132</v>
      </c>
      <c r="H35" s="7" t="s">
        <v>22</v>
      </c>
      <c r="I35" s="7" t="s">
        <v>276</v>
      </c>
      <c r="J35" s="8" t="s">
        <v>261</v>
      </c>
      <c r="K35" s="7" t="s">
        <v>262</v>
      </c>
      <c r="L35" s="9">
        <v>46280</v>
      </c>
    </row>
    <row r="36" spans="1:12" ht="72" customHeight="1">
      <c r="A36" s="7" t="s">
        <v>126</v>
      </c>
      <c r="B36" s="7" t="s">
        <v>127</v>
      </c>
      <c r="C36" s="6" t="s">
        <v>134</v>
      </c>
      <c r="D36" s="6" t="s">
        <v>56</v>
      </c>
      <c r="E36" s="6" t="s">
        <v>135</v>
      </c>
      <c r="F36" s="6" t="s">
        <v>136</v>
      </c>
      <c r="G36" s="6" t="s">
        <v>137</v>
      </c>
      <c r="H36" s="7" t="s">
        <v>22</v>
      </c>
      <c r="I36" s="6" t="s">
        <v>137</v>
      </c>
      <c r="J36" s="8" t="s">
        <v>261</v>
      </c>
      <c r="K36" s="7" t="s">
        <v>262</v>
      </c>
      <c r="L36" s="9">
        <v>46280</v>
      </c>
    </row>
    <row r="37" spans="1:12" ht="72" customHeight="1">
      <c r="A37" s="7" t="s">
        <v>133</v>
      </c>
      <c r="B37" s="7" t="s">
        <v>127</v>
      </c>
      <c r="C37" s="6" t="s">
        <v>139</v>
      </c>
      <c r="D37" s="6" t="s">
        <v>56</v>
      </c>
      <c r="E37" s="6" t="s">
        <v>140</v>
      </c>
      <c r="F37" s="6" t="s">
        <v>136</v>
      </c>
      <c r="G37" s="6" t="s">
        <v>141</v>
      </c>
      <c r="H37" s="7" t="s">
        <v>22</v>
      </c>
      <c r="I37" s="6" t="s">
        <v>141</v>
      </c>
      <c r="J37" s="8" t="s">
        <v>261</v>
      </c>
      <c r="K37" s="7" t="s">
        <v>262</v>
      </c>
      <c r="L37" s="9">
        <v>46280</v>
      </c>
    </row>
    <row r="38" spans="1:12" ht="72" customHeight="1">
      <c r="A38" s="7" t="s">
        <v>138</v>
      </c>
      <c r="B38" s="7" t="s">
        <v>127</v>
      </c>
      <c r="C38" s="6" t="s">
        <v>143</v>
      </c>
      <c r="D38" s="6" t="s">
        <v>56</v>
      </c>
      <c r="E38" s="6" t="s">
        <v>144</v>
      </c>
      <c r="F38" s="6" t="s">
        <v>136</v>
      </c>
      <c r="G38" s="6" t="s">
        <v>145</v>
      </c>
      <c r="H38" s="7" t="s">
        <v>22</v>
      </c>
      <c r="I38" s="6" t="s">
        <v>145</v>
      </c>
      <c r="J38" s="8" t="s">
        <v>261</v>
      </c>
      <c r="K38" s="7" t="s">
        <v>262</v>
      </c>
      <c r="L38" s="9">
        <v>46280</v>
      </c>
    </row>
    <row r="39" spans="1:12" ht="72" customHeight="1">
      <c r="A39" s="7" t="s">
        <v>142</v>
      </c>
      <c r="B39" s="7" t="s">
        <v>147</v>
      </c>
      <c r="C39" s="6" t="s">
        <v>148</v>
      </c>
      <c r="D39" s="6" t="s">
        <v>149</v>
      </c>
      <c r="E39" s="6" t="s">
        <v>150</v>
      </c>
      <c r="F39" s="6" t="s">
        <v>151</v>
      </c>
      <c r="G39" s="6" t="s">
        <v>152</v>
      </c>
      <c r="H39" s="7" t="s">
        <v>22</v>
      </c>
      <c r="I39" s="6" t="s">
        <v>145</v>
      </c>
      <c r="J39" s="8" t="s">
        <v>261</v>
      </c>
      <c r="K39" s="7" t="s">
        <v>262</v>
      </c>
      <c r="L39" s="9">
        <v>46280</v>
      </c>
    </row>
    <row r="40" spans="1:12" ht="72" customHeight="1">
      <c r="A40" s="7" t="s">
        <v>146</v>
      </c>
      <c r="B40" s="7" t="s">
        <v>147</v>
      </c>
      <c r="C40" s="6" t="s">
        <v>154</v>
      </c>
      <c r="D40" s="6" t="s">
        <v>155</v>
      </c>
      <c r="E40" s="6" t="s">
        <v>156</v>
      </c>
      <c r="F40" s="6" t="s">
        <v>151</v>
      </c>
      <c r="G40" s="6" t="s">
        <v>157</v>
      </c>
      <c r="H40" s="7" t="s">
        <v>22</v>
      </c>
      <c r="I40" s="6" t="s">
        <v>157</v>
      </c>
      <c r="J40" s="8" t="s">
        <v>261</v>
      </c>
      <c r="K40" s="7" t="s">
        <v>262</v>
      </c>
      <c r="L40" s="9">
        <v>46280</v>
      </c>
    </row>
    <row r="41" spans="1:12" ht="72" customHeight="1">
      <c r="A41" s="7" t="s">
        <v>153</v>
      </c>
      <c r="B41" s="7" t="s">
        <v>147</v>
      </c>
      <c r="C41" s="6" t="s">
        <v>159</v>
      </c>
      <c r="D41" s="6" t="s">
        <v>160</v>
      </c>
      <c r="E41" s="6" t="s">
        <v>161</v>
      </c>
      <c r="F41" s="6" t="s">
        <v>162</v>
      </c>
      <c r="G41" s="6" t="s">
        <v>163</v>
      </c>
      <c r="H41" s="7" t="s">
        <v>22</v>
      </c>
      <c r="I41" s="6" t="s">
        <v>163</v>
      </c>
      <c r="J41" s="8" t="s">
        <v>261</v>
      </c>
      <c r="K41" s="7" t="s">
        <v>262</v>
      </c>
      <c r="L41" s="9">
        <v>46280</v>
      </c>
    </row>
    <row r="42" spans="1:12" ht="72" customHeight="1">
      <c r="A42" s="7" t="s">
        <v>158</v>
      </c>
      <c r="B42" s="7" t="s">
        <v>147</v>
      </c>
      <c r="C42" s="6" t="s">
        <v>165</v>
      </c>
      <c r="D42" s="6" t="s">
        <v>160</v>
      </c>
      <c r="E42" s="6" t="s">
        <v>161</v>
      </c>
      <c r="F42" s="6" t="s">
        <v>166</v>
      </c>
      <c r="G42" s="6" t="s">
        <v>167</v>
      </c>
      <c r="H42" s="7" t="s">
        <v>22</v>
      </c>
      <c r="I42" s="6" t="s">
        <v>167</v>
      </c>
      <c r="J42" s="8" t="s">
        <v>261</v>
      </c>
      <c r="K42" s="7" t="s">
        <v>262</v>
      </c>
      <c r="L42" s="9">
        <v>46280</v>
      </c>
    </row>
    <row r="43" spans="1:12" ht="72" customHeight="1">
      <c r="A43" s="7" t="s">
        <v>164</v>
      </c>
      <c r="B43" s="7" t="s">
        <v>147</v>
      </c>
      <c r="C43" s="6" t="s">
        <v>169</v>
      </c>
      <c r="D43" s="6" t="s">
        <v>56</v>
      </c>
      <c r="E43" s="6" t="s">
        <v>170</v>
      </c>
      <c r="F43" s="6" t="s">
        <v>171</v>
      </c>
      <c r="G43" s="6" t="s">
        <v>172</v>
      </c>
      <c r="H43" s="7" t="s">
        <v>22</v>
      </c>
      <c r="I43" s="6" t="s">
        <v>172</v>
      </c>
      <c r="J43" s="8" t="s">
        <v>261</v>
      </c>
      <c r="K43" s="7" t="s">
        <v>262</v>
      </c>
      <c r="L43" s="9">
        <v>46280</v>
      </c>
    </row>
    <row r="44" spans="1:12" ht="72" customHeight="1">
      <c r="A44" s="7" t="s">
        <v>168</v>
      </c>
      <c r="B44" s="7" t="s">
        <v>174</v>
      </c>
      <c r="C44" s="6" t="s">
        <v>175</v>
      </c>
      <c r="D44" s="6" t="s">
        <v>176</v>
      </c>
      <c r="E44" s="6" t="s">
        <v>177</v>
      </c>
      <c r="F44" s="6" t="s">
        <v>178</v>
      </c>
      <c r="G44" s="6" t="s">
        <v>179</v>
      </c>
      <c r="H44" s="7" t="s">
        <v>22</v>
      </c>
      <c r="I44" s="6" t="s">
        <v>179</v>
      </c>
      <c r="J44" s="8" t="s">
        <v>261</v>
      </c>
      <c r="K44" s="7" t="s">
        <v>262</v>
      </c>
      <c r="L44" s="9">
        <v>46280</v>
      </c>
    </row>
    <row r="45" spans="1:12" ht="72" customHeight="1">
      <c r="A45" s="7" t="s">
        <v>173</v>
      </c>
      <c r="B45" s="7" t="s">
        <v>174</v>
      </c>
      <c r="C45" s="6" t="s">
        <v>181</v>
      </c>
      <c r="D45" s="6" t="s">
        <v>56</v>
      </c>
      <c r="E45" s="6" t="s">
        <v>182</v>
      </c>
      <c r="F45" s="6" t="s">
        <v>183</v>
      </c>
      <c r="G45" s="6" t="s">
        <v>184</v>
      </c>
      <c r="H45" s="7" t="s">
        <v>22</v>
      </c>
      <c r="I45" s="6" t="s">
        <v>184</v>
      </c>
      <c r="J45" s="8" t="s">
        <v>261</v>
      </c>
      <c r="K45" s="7" t="s">
        <v>262</v>
      </c>
      <c r="L45" s="9">
        <v>46280</v>
      </c>
    </row>
    <row r="46" spans="1:12" ht="72" customHeight="1">
      <c r="A46" s="7" t="s">
        <v>180</v>
      </c>
      <c r="B46" s="7" t="s">
        <v>174</v>
      </c>
      <c r="C46" s="6" t="s">
        <v>186</v>
      </c>
      <c r="D46" s="6" t="s">
        <v>187</v>
      </c>
      <c r="E46" s="6" t="s">
        <v>188</v>
      </c>
      <c r="F46" s="6" t="s">
        <v>183</v>
      </c>
      <c r="G46" s="6" t="s">
        <v>189</v>
      </c>
      <c r="H46" s="7" t="s">
        <v>22</v>
      </c>
      <c r="I46" s="6" t="s">
        <v>189</v>
      </c>
      <c r="J46" s="8" t="s">
        <v>261</v>
      </c>
      <c r="K46" s="7" t="s">
        <v>262</v>
      </c>
      <c r="L46" s="9">
        <v>46280</v>
      </c>
    </row>
    <row r="47" spans="1:12" ht="72" customHeight="1">
      <c r="A47" s="7" t="s">
        <v>185</v>
      </c>
      <c r="B47" s="7" t="s">
        <v>174</v>
      </c>
      <c r="C47" s="6" t="s">
        <v>191</v>
      </c>
      <c r="D47" s="6" t="s">
        <v>192</v>
      </c>
      <c r="E47" s="6" t="s">
        <v>193</v>
      </c>
      <c r="F47" s="6" t="s">
        <v>183</v>
      </c>
      <c r="G47" s="6" t="s">
        <v>189</v>
      </c>
      <c r="H47" s="7" t="s">
        <v>22</v>
      </c>
      <c r="I47" s="6" t="s">
        <v>189</v>
      </c>
      <c r="J47" s="8" t="s">
        <v>261</v>
      </c>
      <c r="K47" s="7" t="s">
        <v>262</v>
      </c>
      <c r="L47" s="9">
        <v>46280</v>
      </c>
    </row>
    <row r="48" spans="1:12" ht="72" customHeight="1">
      <c r="A48" s="7" t="s">
        <v>190</v>
      </c>
      <c r="B48" s="7" t="s">
        <v>174</v>
      </c>
      <c r="C48" s="6" t="s">
        <v>159</v>
      </c>
      <c r="D48" s="6" t="s">
        <v>195</v>
      </c>
      <c r="E48" s="6" t="s">
        <v>196</v>
      </c>
      <c r="F48" s="6" t="s">
        <v>197</v>
      </c>
      <c r="G48" s="6" t="s">
        <v>198</v>
      </c>
      <c r="H48" s="7" t="s">
        <v>22</v>
      </c>
      <c r="I48" s="6" t="s">
        <v>198</v>
      </c>
      <c r="J48" s="8" t="s">
        <v>261</v>
      </c>
      <c r="K48" s="7" t="s">
        <v>262</v>
      </c>
      <c r="L48" s="9">
        <v>46280</v>
      </c>
    </row>
    <row r="49" spans="1:12" ht="72" customHeight="1">
      <c r="A49" s="7" t="s">
        <v>194</v>
      </c>
      <c r="B49" s="7" t="s">
        <v>174</v>
      </c>
      <c r="C49" s="6" t="s">
        <v>165</v>
      </c>
      <c r="D49" s="6" t="s">
        <v>200</v>
      </c>
      <c r="E49" s="6" t="s">
        <v>196</v>
      </c>
      <c r="F49" s="6" t="s">
        <v>201</v>
      </c>
      <c r="G49" s="6" t="s">
        <v>202</v>
      </c>
      <c r="H49" s="7" t="s">
        <v>22</v>
      </c>
      <c r="I49" s="6" t="s">
        <v>202</v>
      </c>
      <c r="J49" s="8" t="s">
        <v>261</v>
      </c>
      <c r="K49" s="7" t="s">
        <v>262</v>
      </c>
      <c r="L49" s="9">
        <v>46280</v>
      </c>
    </row>
    <row r="50" spans="1:12" ht="72" customHeight="1">
      <c r="A50" s="7" t="s">
        <v>199</v>
      </c>
      <c r="B50" s="7" t="s">
        <v>204</v>
      </c>
      <c r="C50" s="6" t="s">
        <v>205</v>
      </c>
      <c r="D50" s="6" t="s">
        <v>206</v>
      </c>
      <c r="E50" s="6" t="s">
        <v>207</v>
      </c>
      <c r="F50" s="6" t="s">
        <v>208</v>
      </c>
      <c r="G50" s="6" t="s">
        <v>209</v>
      </c>
      <c r="H50" s="7" t="s">
        <v>35</v>
      </c>
      <c r="I50" s="6" t="s">
        <v>209</v>
      </c>
      <c r="J50" s="8" t="s">
        <v>261</v>
      </c>
      <c r="K50" s="7" t="s">
        <v>262</v>
      </c>
      <c r="L50" s="9">
        <v>46280</v>
      </c>
    </row>
    <row r="51" spans="1:12" ht="72" customHeight="1">
      <c r="A51" s="7" t="s">
        <v>203</v>
      </c>
      <c r="B51" s="7" t="s">
        <v>211</v>
      </c>
      <c r="C51" s="6" t="s">
        <v>212</v>
      </c>
      <c r="D51" s="6" t="s">
        <v>213</v>
      </c>
      <c r="E51" s="6" t="s">
        <v>214</v>
      </c>
      <c r="F51" s="6" t="s">
        <v>215</v>
      </c>
      <c r="G51" s="6" t="s">
        <v>216</v>
      </c>
      <c r="H51" s="7" t="s">
        <v>22</v>
      </c>
      <c r="I51" s="6" t="s">
        <v>216</v>
      </c>
      <c r="J51" s="8" t="s">
        <v>261</v>
      </c>
      <c r="K51" s="7" t="s">
        <v>262</v>
      </c>
      <c r="L51" s="9">
        <v>46280</v>
      </c>
    </row>
    <row r="52" spans="1:12" ht="72" customHeight="1">
      <c r="A52" s="7" t="s">
        <v>210</v>
      </c>
      <c r="B52" s="7" t="s">
        <v>218</v>
      </c>
      <c r="C52" s="6" t="s">
        <v>219</v>
      </c>
      <c r="D52" s="6" t="s">
        <v>220</v>
      </c>
      <c r="E52" s="6" t="s">
        <v>221</v>
      </c>
      <c r="F52" s="6" t="s">
        <v>222</v>
      </c>
      <c r="G52" s="6" t="s">
        <v>223</v>
      </c>
      <c r="H52" s="7" t="s">
        <v>22</v>
      </c>
      <c r="I52" s="6" t="s">
        <v>223</v>
      </c>
      <c r="J52" s="8" t="s">
        <v>261</v>
      </c>
      <c r="K52" s="7" t="s">
        <v>262</v>
      </c>
      <c r="L52" s="9">
        <v>46280</v>
      </c>
    </row>
    <row r="53" spans="1:12" ht="72" customHeight="1">
      <c r="A53" s="7" t="s">
        <v>217</v>
      </c>
      <c r="B53" s="7" t="s">
        <v>218</v>
      </c>
      <c r="C53" s="6" t="s">
        <v>225</v>
      </c>
      <c r="D53" s="6" t="s">
        <v>226</v>
      </c>
      <c r="E53" s="6" t="s">
        <v>227</v>
      </c>
      <c r="F53" s="6" t="s">
        <v>228</v>
      </c>
      <c r="G53" s="6" t="s">
        <v>229</v>
      </c>
      <c r="H53" s="7" t="s">
        <v>22</v>
      </c>
      <c r="I53" s="6" t="s">
        <v>229</v>
      </c>
      <c r="J53" s="8" t="s">
        <v>261</v>
      </c>
      <c r="K53" s="7" t="s">
        <v>262</v>
      </c>
      <c r="L53" s="9">
        <v>46280</v>
      </c>
    </row>
    <row r="54" spans="1:12" ht="72" customHeight="1">
      <c r="A54" s="7" t="s">
        <v>224</v>
      </c>
      <c r="B54" s="7" t="s">
        <v>218</v>
      </c>
      <c r="C54" s="6" t="s">
        <v>231</v>
      </c>
      <c r="D54" s="6" t="s">
        <v>232</v>
      </c>
      <c r="E54" s="6" t="s">
        <v>233</v>
      </c>
      <c r="F54" s="6" t="s">
        <v>234</v>
      </c>
      <c r="G54" s="6" t="s">
        <v>235</v>
      </c>
      <c r="H54" s="7" t="s">
        <v>22</v>
      </c>
      <c r="I54" s="6" t="s">
        <v>235</v>
      </c>
      <c r="J54" s="8" t="s">
        <v>261</v>
      </c>
      <c r="K54" s="7" t="s">
        <v>262</v>
      </c>
      <c r="L54" s="9">
        <v>46280</v>
      </c>
    </row>
    <row r="55" spans="1:12" ht="72" customHeight="1">
      <c r="A55" s="7" t="s">
        <v>230</v>
      </c>
      <c r="B55" s="7" t="s">
        <v>237</v>
      </c>
      <c r="C55" s="6" t="s">
        <v>238</v>
      </c>
      <c r="D55" s="6" t="s">
        <v>239</v>
      </c>
      <c r="E55" s="6" t="s">
        <v>240</v>
      </c>
      <c r="F55" s="6" t="s">
        <v>241</v>
      </c>
      <c r="G55" s="6" t="s">
        <v>242</v>
      </c>
      <c r="H55" s="7" t="s">
        <v>35</v>
      </c>
      <c r="I55" s="6" t="s">
        <v>242</v>
      </c>
      <c r="J55" s="8" t="s">
        <v>261</v>
      </c>
      <c r="K55" s="7" t="s">
        <v>262</v>
      </c>
      <c r="L55" s="9">
        <v>46280</v>
      </c>
    </row>
    <row r="56" spans="1:12" ht="72" customHeight="1">
      <c r="A56" s="7" t="s">
        <v>236</v>
      </c>
      <c r="B56" s="7" t="s">
        <v>237</v>
      </c>
      <c r="C56" s="6" t="s">
        <v>244</v>
      </c>
      <c r="D56" s="6" t="s">
        <v>39</v>
      </c>
      <c r="E56" s="6" t="s">
        <v>245</v>
      </c>
      <c r="F56" s="6" t="s">
        <v>246</v>
      </c>
      <c r="G56" s="6" t="s">
        <v>247</v>
      </c>
      <c r="H56" s="7" t="s">
        <v>35</v>
      </c>
      <c r="I56" s="6" t="s">
        <v>247</v>
      </c>
      <c r="J56" s="8" t="s">
        <v>261</v>
      </c>
      <c r="K56" s="7" t="s">
        <v>262</v>
      </c>
      <c r="L56" s="9">
        <v>46280</v>
      </c>
    </row>
    <row r="57" spans="1:12" ht="72" customHeight="1">
      <c r="A57" s="7" t="s">
        <v>243</v>
      </c>
      <c r="B57" s="7" t="s">
        <v>249</v>
      </c>
      <c r="C57" s="6" t="s">
        <v>250</v>
      </c>
      <c r="D57" s="6" t="s">
        <v>117</v>
      </c>
      <c r="E57" s="6" t="s">
        <v>251</v>
      </c>
      <c r="F57" s="6" t="s">
        <v>252</v>
      </c>
      <c r="G57" s="6" t="s">
        <v>253</v>
      </c>
      <c r="H57" s="7" t="s">
        <v>76</v>
      </c>
      <c r="I57" s="6" t="s">
        <v>253</v>
      </c>
      <c r="J57" s="8" t="s">
        <v>261</v>
      </c>
      <c r="K57" s="7" t="s">
        <v>262</v>
      </c>
      <c r="L57" s="9">
        <v>46280</v>
      </c>
    </row>
    <row r="58" spans="1:12" ht="72" customHeight="1">
      <c r="A58" s="7" t="s">
        <v>248</v>
      </c>
      <c r="B58" s="7" t="s">
        <v>254</v>
      </c>
      <c r="C58" s="6" t="s">
        <v>255</v>
      </c>
      <c r="D58" s="6" t="s">
        <v>256</v>
      </c>
      <c r="E58" s="6" t="s">
        <v>257</v>
      </c>
      <c r="F58" s="6" t="s">
        <v>258</v>
      </c>
      <c r="G58" s="6" t="s">
        <v>259</v>
      </c>
      <c r="H58" s="7" t="s">
        <v>22</v>
      </c>
      <c r="I58" s="6" t="s">
        <v>259</v>
      </c>
      <c r="J58" s="8" t="s">
        <v>261</v>
      </c>
      <c r="K58" s="7" t="s">
        <v>262</v>
      </c>
      <c r="L58" s="9">
        <v>46280</v>
      </c>
    </row>
  </sheetData>
  <mergeCells count="2">
    <mergeCell ref="A2:L2"/>
    <mergeCell ref="A3:L3"/>
  </mergeCells>
  <conditionalFormatting sqref="J15:J58">
    <cfRule type="expression" dxfId="2" priority="1">
      <formula>J15="Pass"</formula>
    </cfRule>
    <cfRule type="expression" dxfId="1" priority="2">
      <formula>J15="Fail"</formula>
    </cfRule>
    <cfRule type="expression" dxfId="0" priority="3">
      <formula>J15="Blocked"</formula>
    </cfRule>
  </conditionalFormatting>
  <dataValidations count="1">
    <dataValidation type="list" showErrorMessage="1" errorTitle="Invalid Status" error="Select Not Run, Pass, Fail, or Blocked." sqref="J15:J58" xr:uid="{00000000-0002-0000-0000-000000000000}">
      <formula1>"Not Run,Pass,Fail,Blocked"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Kristie Jones</dc:creator>
  <cp:lastModifiedBy>Kristie Jones</cp:lastModifiedBy>
  <dcterms:created xsi:type="dcterms:W3CDTF">2026-09-16T03:34:05Z</dcterms:created>
  <dcterms:modified xsi:type="dcterms:W3CDTF">2026-10-05T21:08:13Z</dcterms:modified>
</cp:coreProperties>
</file>